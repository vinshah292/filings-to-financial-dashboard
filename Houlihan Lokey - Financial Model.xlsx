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rating Model" sheetId="2" state="visible" r:id="rId2"/>
    <sheet xmlns:r="http://schemas.openxmlformats.org/officeDocument/2006/relationships" name="Quarterl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04878"/>
      <sz val="16"/>
    </font>
    <font>
      <name val="Calibri"/>
      <color rgb="005A6B72"/>
      <sz val="10"/>
    </font>
    <font>
      <name val="Calibri"/>
      <b val="1"/>
      <color rgb="00FFFFFF"/>
      <sz val="10"/>
    </font>
    <font>
      <name val="Calibri"/>
      <color rgb="0022333B"/>
      <sz val="10"/>
    </font>
    <font>
      <name val="Calibri"/>
      <b val="1"/>
      <color rgb="0022333B"/>
      <sz val="10"/>
    </font>
    <font>
      <name val="Calibri"/>
      <color rgb="001F6FA8"/>
      <sz val="10"/>
    </font>
    <font>
      <name val="Calibri"/>
      <i val="1"/>
      <color rgb="005A6B72"/>
      <sz val="8"/>
    </font>
  </fonts>
  <fills count="4">
    <fill>
      <patternFill/>
    </fill>
    <fill>
      <patternFill patternType="gray125"/>
    </fill>
    <fill>
      <patternFill patternType="solid">
        <fgColor rgb="00004878"/>
      </patternFill>
    </fill>
    <fill>
      <patternFill patternType="solid">
        <fgColor rgb="005490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3" fillId="3" borderId="0" pivotButton="0" quotePrefix="0" xfId="0"/>
    <xf numFmtId="0" fontId="0" fillId="3" borderId="0" pivotButton="0" quotePrefix="0" xfId="0"/>
    <xf numFmtId="164" fontId="6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0" fontId="7" fillId="0" borderId="0" pivotButton="0" quotePrefix="0" xfId="0"/>
    <xf numFmtId="49" fontId="3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8" customWidth="1" min="2" max="2"/>
  </cols>
  <sheetData>
    <row r="2">
      <c r="B2" s="1" t="inlineStr">
        <is>
          <t>Houlihan Lokey, Inc.  (NYSE: HLI)</t>
        </is>
      </c>
    </row>
    <row r="3">
      <c r="B3" s="2" t="inlineStr">
        <is>
          <t>Five-Year Operating Model  ·  FY2022–FY2026  ·  fiscal years ending March 31</t>
        </is>
      </c>
    </row>
    <row r="5">
      <c r="B5" s="3" t="inlineStr">
        <is>
          <t>AUDITABLE DATA HUB</t>
        </is>
      </c>
    </row>
    <row r="7">
      <c r="B7" s="4" t="inlineStr"/>
    </row>
    <row r="8">
      <c r="B8" s="4" t="inlineStr">
        <is>
          <t>Source of truth: SEC EDGAR. Financial lines are XBRL company facts (CIK 0001302215), YTD-differenced</t>
        </is>
      </c>
    </row>
    <row r="9">
      <c r="B9" s="4" t="inlineStr">
        <is>
          <t>to quarters. Segment revenue, Managing Director headcount, and deal counts are parsed from the 20</t>
        </is>
      </c>
    </row>
    <row r="10">
      <c r="B10" s="4" t="inlineStr">
        <is>
          <t>quarterly earnings-release 8-Ks (Exhibit 99.1).</t>
        </is>
      </c>
    </row>
    <row r="11">
      <c r="B11" s="4" t="inlineStr"/>
    </row>
    <row r="12">
      <c r="B12" s="4" t="inlineStr">
        <is>
          <t>Every figure here ties to the web dashboard and to the filings. Blue cells are pulled from SEC; black</t>
        </is>
      </c>
    </row>
    <row r="13">
      <c r="B13" s="4" t="inlineStr">
        <is>
          <t>cells are live Excel formulas (margins, comp ratio, revenue per MD, segment totals) that recompute.</t>
        </is>
      </c>
    </row>
    <row r="14">
      <c r="B14" s="4" t="inlineStr"/>
    </row>
    <row r="15">
      <c r="B15" s="5" t="inlineStr">
        <is>
          <t>Tie-outs (enforced in code before this file is written):</t>
        </is>
      </c>
    </row>
    <row r="16">
      <c r="B16" s="4" t="inlineStr">
        <is>
          <t xml:space="preserve">   • Segment revenue sums to total revenue — every fiscal year.</t>
        </is>
      </c>
    </row>
    <row r="17">
      <c r="B17" s="4" t="inlineStr">
        <is>
          <t xml:space="preserve">   • Quarterly revenue sums to the reported 10-K annual — every fiscal year.</t>
        </is>
      </c>
    </row>
    <row r="18">
      <c r="B18" s="4" t="inlineStr"/>
    </row>
    <row r="19">
      <c r="B19" s="4" t="inlineStr">
        <is>
          <t>Net income to HLI = us-gaap:NetIncomeLoss (attributable to parent), not consolidated ProfitLoss.</t>
        </is>
      </c>
    </row>
    <row r="20">
      <c r="B20" s="4" t="inlineStr">
        <is>
          <t>EBITDA = GAAP operating income + D&amp;A (not HL's non-GAAP Adjusted EBITDA).</t>
        </is>
      </c>
    </row>
    <row r="21">
      <c r="B21" s="4" t="inlineStr"/>
    </row>
    <row r="22">
      <c r="B22" s="4" t="inlineStr">
        <is>
          <t>Tabs:  Operating Model (annual)  ·  Quarterly Detail (the 20-quarter audit trail).</t>
        </is>
      </c>
    </row>
    <row r="23">
      <c r="B23" s="4" t="inlineStr"/>
    </row>
    <row r="24">
      <c r="B24" s="4" t="inlineStr">
        <is>
          <t>Built from public filings for financial-analysis demonstration.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Operating Model  —  $ in millions unless noted</t>
        </is>
      </c>
    </row>
    <row r="4">
      <c r="B4" s="6" t="inlineStr">
        <is>
          <t>Fiscal year (ended Mar 31)</t>
        </is>
      </c>
      <c r="C4" s="7" t="inlineStr">
        <is>
          <t>FY2022</t>
        </is>
      </c>
      <c r="D4" s="7" t="inlineStr">
        <is>
          <t>FY2023</t>
        </is>
      </c>
      <c r="E4" s="7" t="inlineStr">
        <is>
          <t>FY2024</t>
        </is>
      </c>
      <c r="F4" s="7" t="inlineStr">
        <is>
          <t>FY2025</t>
        </is>
      </c>
      <c r="G4" s="7" t="inlineStr">
        <is>
          <t>FY2026</t>
        </is>
      </c>
    </row>
    <row r="5">
      <c r="B5" s="8" t="inlineStr">
        <is>
          <t>REVENUE</t>
        </is>
      </c>
      <c r="C5" s="9" t="n"/>
      <c r="D5" s="9" t="n"/>
      <c r="E5" s="9" t="n"/>
      <c r="F5" s="9" t="n"/>
      <c r="G5" s="9" t="n"/>
    </row>
    <row r="6">
      <c r="B6" s="5" t="inlineStr">
        <is>
          <t>Total revenue</t>
        </is>
      </c>
      <c r="C6" s="10" t="n">
        <v>2269.958</v>
      </c>
      <c r="D6" s="10" t="n">
        <v>1809.447</v>
      </c>
      <c r="E6" s="10" t="n">
        <v>1914.404</v>
      </c>
      <c r="F6" s="10" t="n">
        <v>2389.416</v>
      </c>
      <c r="G6" s="10" t="n">
        <v>2617.516</v>
      </c>
    </row>
    <row r="8">
      <c r="B8" s="8" t="inlineStr">
        <is>
          <t>SEGMENT REVENUE</t>
        </is>
      </c>
      <c r="C8" s="9" t="n"/>
      <c r="D8" s="9" t="n"/>
      <c r="E8" s="9" t="n"/>
      <c r="F8" s="9" t="n"/>
      <c r="G8" s="9" t="n"/>
    </row>
    <row r="9">
      <c r="B9" s="4" t="inlineStr">
        <is>
          <t>Corporate Finance</t>
        </is>
      </c>
      <c r="C9" s="10" t="n">
        <v>1593.083</v>
      </c>
      <c r="D9" s="10" t="n">
        <v>1127.126</v>
      </c>
      <c r="E9" s="10" t="n">
        <v>1106.826</v>
      </c>
      <c r="F9" s="10" t="n">
        <v>1526.756</v>
      </c>
      <c r="G9" s="10" t="n">
        <v>1744.634</v>
      </c>
    </row>
    <row r="10">
      <c r="B10" s="4" t="inlineStr">
        <is>
          <t>Financial Restructuring</t>
        </is>
      </c>
      <c r="C10" s="10" t="n">
        <v>392.818</v>
      </c>
      <c r="D10" s="10" t="n">
        <v>395.733</v>
      </c>
      <c r="E10" s="10" t="n">
        <v>521.984</v>
      </c>
      <c r="F10" s="10" t="n">
        <v>544.478</v>
      </c>
      <c r="G10" s="10" t="n">
        <v>528.655</v>
      </c>
    </row>
    <row r="11">
      <c r="B11" s="4" t="inlineStr">
        <is>
          <t>Financial &amp; Valuation Advisory</t>
        </is>
      </c>
      <c r="C11" s="10" t="n">
        <v>284.057</v>
      </c>
      <c r="D11" s="10" t="n">
        <v>286.588</v>
      </c>
      <c r="E11" s="10" t="n">
        <v>285.594</v>
      </c>
      <c r="F11" s="10" t="n">
        <v>318.182</v>
      </c>
      <c r="G11" s="10" t="n">
        <v>344.227</v>
      </c>
    </row>
    <row r="12">
      <c r="B12" s="4" t="inlineStr">
        <is>
          <t>Total (check = revenue)</t>
        </is>
      </c>
      <c r="C12" s="11">
        <f>C9+C10+C11</f>
        <v/>
      </c>
      <c r="D12" s="11">
        <f>D9+D10+D11</f>
        <v/>
      </c>
      <c r="E12" s="11">
        <f>E9+E10+E11</f>
        <v/>
      </c>
      <c r="F12" s="11">
        <f>F9+F10+F11</f>
        <v/>
      </c>
      <c r="G12" s="11">
        <f>G9+G10+G11</f>
        <v/>
      </c>
    </row>
    <row r="14">
      <c r="B14" s="8" t="inlineStr">
        <is>
          <t>PROFITABILITY</t>
        </is>
      </c>
      <c r="C14" s="9" t="n"/>
      <c r="D14" s="9" t="n"/>
      <c r="E14" s="9" t="n"/>
      <c r="F14" s="9" t="n"/>
      <c r="G14" s="9" t="n"/>
    </row>
    <row r="15">
      <c r="B15" s="4" t="inlineStr">
        <is>
          <t>Operating income (EBIT)</t>
        </is>
      </c>
      <c r="C15" s="10" t="n">
        <v>612.864</v>
      </c>
      <c r="D15" s="10" t="n">
        <v>341.738</v>
      </c>
      <c r="E15" s="10" t="n">
        <v>373.234</v>
      </c>
      <c r="F15" s="10" t="n">
        <v>502.567</v>
      </c>
      <c r="G15" s="10" t="n">
        <v>527.019</v>
      </c>
    </row>
    <row r="16">
      <c r="B16" s="4" t="inlineStr">
        <is>
          <t>EBITDA (EBIT + D&amp;A)</t>
        </is>
      </c>
      <c r="C16" s="10" t="n">
        <v>661.401</v>
      </c>
      <c r="D16" s="10" t="n">
        <v>399.959</v>
      </c>
      <c r="E16" s="10" t="n">
        <v>401.77</v>
      </c>
      <c r="F16" s="10" t="n">
        <v>543.837</v>
      </c>
      <c r="G16" s="10" t="n">
        <v>569.653</v>
      </c>
    </row>
    <row r="17">
      <c r="B17" s="5" t="inlineStr">
        <is>
          <t>Net income to HLI</t>
        </is>
      </c>
      <c r="C17" s="10" t="n">
        <v>437.751</v>
      </c>
      <c r="D17" s="10" t="n">
        <v>254.223</v>
      </c>
      <c r="E17" s="10" t="n">
        <v>280.301</v>
      </c>
      <c r="F17" s="10" t="n">
        <v>399.711</v>
      </c>
      <c r="G17" s="10" t="n">
        <v>425.697</v>
      </c>
    </row>
    <row r="18">
      <c r="B18" s="4" t="inlineStr">
        <is>
          <t>Operating margin</t>
        </is>
      </c>
      <c r="C18" s="12">
        <f>C15/C6</f>
        <v/>
      </c>
      <c r="D18" s="12">
        <f>D15/D6</f>
        <v/>
      </c>
      <c r="E18" s="12">
        <f>E15/E6</f>
        <v/>
      </c>
      <c r="F18" s="12">
        <f>F15/F6</f>
        <v/>
      </c>
      <c r="G18" s="12">
        <f>G15/G6</f>
        <v/>
      </c>
    </row>
    <row r="19">
      <c r="B19" s="4" t="inlineStr">
        <is>
          <t>EBITDA margin</t>
        </is>
      </c>
      <c r="C19" s="12">
        <f>C16/C6</f>
        <v/>
      </c>
      <c r="D19" s="12">
        <f>D16/D6</f>
        <v/>
      </c>
      <c r="E19" s="12">
        <f>E16/E6</f>
        <v/>
      </c>
      <c r="F19" s="12">
        <f>F16/F6</f>
        <v/>
      </c>
      <c r="G19" s="12">
        <f>G16/G6</f>
        <v/>
      </c>
    </row>
    <row r="20">
      <c r="B20" s="4" t="inlineStr">
        <is>
          <t>Net margin</t>
        </is>
      </c>
      <c r="C20" s="12">
        <f>C17/C6</f>
        <v/>
      </c>
      <c r="D20" s="12">
        <f>D17/D6</f>
        <v/>
      </c>
      <c r="E20" s="12">
        <f>E17/E6</f>
        <v/>
      </c>
      <c r="F20" s="12">
        <f>F17/F6</f>
        <v/>
      </c>
      <c r="G20" s="12">
        <f>G17/G6</f>
        <v/>
      </c>
    </row>
    <row r="22">
      <c r="B22" s="8" t="inlineStr">
        <is>
          <t>COMPENSATION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Compensation &amp; benefits</t>
        </is>
      </c>
      <c r="C23" s="10" t="n">
        <v>1408.634</v>
      </c>
      <c r="D23" s="10" t="n">
        <v>1112.809</v>
      </c>
      <c r="E23" s="10" t="n">
        <v>1177.355</v>
      </c>
      <c r="F23" s="10" t="n">
        <v>1469.491</v>
      </c>
      <c r="G23" s="10" t="n">
        <v>1609.77</v>
      </c>
    </row>
    <row r="24">
      <c r="B24" s="4" t="inlineStr">
        <is>
          <t>Comp ratio (comp / revenue)</t>
        </is>
      </c>
      <c r="C24" s="12">
        <f>C23/C6</f>
        <v/>
      </c>
      <c r="D24" s="12">
        <f>D23/D6</f>
        <v/>
      </c>
      <c r="E24" s="12">
        <f>E23/E6</f>
        <v/>
      </c>
      <c r="F24" s="12">
        <f>F23/F6</f>
        <v/>
      </c>
      <c r="G24" s="12">
        <f>G23/G6</f>
        <v/>
      </c>
    </row>
    <row r="26">
      <c r="B26" s="8" t="inlineStr">
        <is>
          <t>PEOPLE &amp; ACTIVITY</t>
        </is>
      </c>
      <c r="C26" s="9" t="n"/>
      <c r="D26" s="9" t="n"/>
      <c r="E26" s="9" t="n"/>
      <c r="F26" s="9" t="n"/>
      <c r="G26" s="9" t="n"/>
    </row>
    <row r="27">
      <c r="B27" s="4" t="inlineStr">
        <is>
          <t>Managing Directors (year-end)</t>
        </is>
      </c>
      <c r="C27" s="13" t="n">
        <v>289</v>
      </c>
      <c r="D27" s="13" t="n">
        <v>313</v>
      </c>
      <c r="E27" s="13" t="n">
        <v>316</v>
      </c>
      <c r="F27" s="13" t="n">
        <v>339</v>
      </c>
      <c r="G27" s="13" t="n">
        <v>354</v>
      </c>
    </row>
    <row r="28">
      <c r="B28" s="4" t="inlineStr">
        <is>
          <t>Revenue per MD ($mm)</t>
        </is>
      </c>
      <c r="C28" s="14">
        <f>C6/C27</f>
        <v/>
      </c>
      <c r="D28" s="14">
        <f>D6/D27</f>
        <v/>
      </c>
      <c r="E28" s="14">
        <f>E6/E27</f>
        <v/>
      </c>
      <c r="F28" s="14">
        <f>F6/F27</f>
        <v/>
      </c>
      <c r="G28" s="14">
        <f>G6/G27</f>
        <v/>
      </c>
    </row>
    <row r="29">
      <c r="B29" s="4" t="inlineStr">
        <is>
          <t>Corporate Finance deals closed</t>
        </is>
      </c>
      <c r="C29" s="13" t="n">
        <v>600</v>
      </c>
      <c r="D29" s="13" t="n">
        <v>503</v>
      </c>
      <c r="E29" s="13" t="n">
        <v>450</v>
      </c>
      <c r="F29" s="13" t="n">
        <v>564</v>
      </c>
      <c r="G29" s="13" t="n">
        <v>644</v>
      </c>
    </row>
    <row r="30">
      <c r="B30" s="4" t="inlineStr">
        <is>
          <t>Restructuring deals closed</t>
        </is>
      </c>
      <c r="C30" s="13" t="n">
        <v>90</v>
      </c>
      <c r="D30" s="13" t="n">
        <v>106</v>
      </c>
      <c r="E30" s="13" t="n">
        <v>126</v>
      </c>
      <c r="F30" s="13" t="n">
        <v>145</v>
      </c>
      <c r="G30" s="13" t="n">
        <v>143</v>
      </c>
    </row>
    <row r="32">
      <c r="B32" s="15" t="inlineStr">
        <is>
          <t>Blue = pulled from SEC filings.  Black = live formula.  Source: SEC EDGAR CIK 0001302215.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</cols>
  <sheetData>
    <row r="2">
      <c r="B2" s="1" t="inlineStr">
        <is>
          <t>Quarterly Detail  —  the audit trail (annual columns above sum these)</t>
        </is>
      </c>
    </row>
    <row r="5">
      <c r="B5" s="6" t="inlineStr">
        <is>
          <t>$ in millions / counts</t>
        </is>
      </c>
      <c r="C5" s="16" t="inlineStr">
        <is>
          <t>FY 2022Q1</t>
        </is>
      </c>
      <c r="D5" s="16" t="inlineStr">
        <is>
          <t>FY 2022Q2</t>
        </is>
      </c>
      <c r="E5" s="16" t="inlineStr">
        <is>
          <t>FY 2022Q3</t>
        </is>
      </c>
      <c r="F5" s="16" t="inlineStr">
        <is>
          <t>FY 2022Q4</t>
        </is>
      </c>
      <c r="G5" s="16" t="inlineStr">
        <is>
          <t>FY 2023Q1</t>
        </is>
      </c>
      <c r="H5" s="16" t="inlineStr">
        <is>
          <t>FY 2023Q2</t>
        </is>
      </c>
      <c r="I5" s="16" t="inlineStr">
        <is>
          <t>FY 2023Q3</t>
        </is>
      </c>
      <c r="J5" s="16" t="inlineStr">
        <is>
          <t>FY 2023Q4</t>
        </is>
      </c>
      <c r="K5" s="16" t="inlineStr">
        <is>
          <t>FY 2024Q1</t>
        </is>
      </c>
      <c r="L5" s="16" t="inlineStr">
        <is>
          <t>FY 2024Q2</t>
        </is>
      </c>
      <c r="M5" s="16" t="inlineStr">
        <is>
          <t>FY 2024Q3</t>
        </is>
      </c>
      <c r="N5" s="16" t="inlineStr">
        <is>
          <t>FY 2024Q4</t>
        </is>
      </c>
      <c r="O5" s="16" t="inlineStr">
        <is>
          <t>FY 2025Q1</t>
        </is>
      </c>
      <c r="P5" s="16" t="inlineStr">
        <is>
          <t>FY 2025Q2</t>
        </is>
      </c>
      <c r="Q5" s="16" t="inlineStr">
        <is>
          <t>FY 2025Q3</t>
        </is>
      </c>
      <c r="R5" s="16" t="inlineStr">
        <is>
          <t>FY 2025Q4</t>
        </is>
      </c>
      <c r="S5" s="16" t="inlineStr">
        <is>
          <t>FY 2026Q1</t>
        </is>
      </c>
      <c r="T5" s="16" t="inlineStr">
        <is>
          <t>FY 2026Q2</t>
        </is>
      </c>
      <c r="U5" s="16" t="inlineStr">
        <is>
          <t>FY 2026Q3</t>
        </is>
      </c>
      <c r="V5" s="16" t="inlineStr">
        <is>
          <t>FY 2026Q4</t>
        </is>
      </c>
    </row>
    <row r="6">
      <c r="B6" s="8" t="inlineStr">
        <is>
          <t>SEGMENT REVENUE ($mm)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  <row r="7">
      <c r="B7" s="4" t="inlineStr">
        <is>
          <t>Corporate Finance</t>
        </is>
      </c>
      <c r="C7" s="10" t="n">
        <v>209.991</v>
      </c>
      <c r="D7" s="10" t="n">
        <v>388.41</v>
      </c>
      <c r="E7" s="10" t="n">
        <v>715.663</v>
      </c>
      <c r="F7" s="10" t="n">
        <v>279.019</v>
      </c>
      <c r="G7" s="10" t="n">
        <v>263.951</v>
      </c>
      <c r="H7" s="10" t="n">
        <v>315.016</v>
      </c>
      <c r="I7" s="10" t="n">
        <v>291.734</v>
      </c>
      <c r="J7" s="10" t="n">
        <v>256.425</v>
      </c>
      <c r="K7" s="10" t="n">
        <v>227.051</v>
      </c>
      <c r="L7" s="10" t="n">
        <v>281.684</v>
      </c>
      <c r="M7" s="10" t="n">
        <v>310.512</v>
      </c>
      <c r="N7" s="10" t="n">
        <v>287.579</v>
      </c>
      <c r="O7" s="10" t="n">
        <v>328.417</v>
      </c>
      <c r="P7" s="10" t="n">
        <v>364.028</v>
      </c>
      <c r="Q7" s="10" t="n">
        <v>421.602</v>
      </c>
      <c r="R7" s="10" t="n">
        <v>412.709</v>
      </c>
      <c r="S7" s="10" t="n">
        <v>398.519</v>
      </c>
      <c r="T7" s="10" t="n">
        <v>438.661</v>
      </c>
      <c r="U7" s="10" t="n">
        <v>473.688</v>
      </c>
      <c r="V7" s="10" t="n">
        <v>433.766</v>
      </c>
    </row>
    <row r="8">
      <c r="B8" s="4" t="inlineStr">
        <is>
          <t>Financial Restructuring</t>
        </is>
      </c>
      <c r="C8" s="10" t="n">
        <v>98.77500000000001</v>
      </c>
      <c r="D8" s="10" t="n">
        <v>83.184</v>
      </c>
      <c r="E8" s="10" t="n">
        <v>89.273</v>
      </c>
      <c r="F8" s="10" t="n">
        <v>121.586</v>
      </c>
      <c r="G8" s="10" t="n">
        <v>78.83799999999999</v>
      </c>
      <c r="H8" s="10" t="n">
        <v>97.694</v>
      </c>
      <c r="I8" s="10" t="n">
        <v>98.819</v>
      </c>
      <c r="J8" s="10" t="n">
        <v>120.382</v>
      </c>
      <c r="K8" s="10" t="n">
        <v>123.368</v>
      </c>
      <c r="L8" s="10" t="n">
        <v>114.67</v>
      </c>
      <c r="M8" s="10" t="n">
        <v>128.565</v>
      </c>
      <c r="N8" s="10" t="n">
        <v>155.381</v>
      </c>
      <c r="O8" s="10" t="n">
        <v>117.422</v>
      </c>
      <c r="P8" s="10" t="n">
        <v>131.568</v>
      </c>
      <c r="Q8" s="10" t="n">
        <v>130.942</v>
      </c>
      <c r="R8" s="10" t="n">
        <v>164.546</v>
      </c>
      <c r="S8" s="10" t="n">
        <v>128.216</v>
      </c>
      <c r="T8" s="10" t="n">
        <v>133.803</v>
      </c>
      <c r="U8" s="10" t="n">
        <v>156.253</v>
      </c>
      <c r="V8" s="10" t="n">
        <v>110.383</v>
      </c>
    </row>
    <row r="9">
      <c r="B9" s="4" t="inlineStr">
        <is>
          <t>Financial &amp; Valuation Advisory</t>
        </is>
      </c>
      <c r="C9" s="10" t="n">
        <v>63.956</v>
      </c>
      <c r="D9" s="10" t="n">
        <v>65.678</v>
      </c>
      <c r="E9" s="10" t="n">
        <v>83.86199999999999</v>
      </c>
      <c r="F9" s="10" t="n">
        <v>70.56100000000001</v>
      </c>
      <c r="G9" s="10" t="n">
        <v>75.855</v>
      </c>
      <c r="H9" s="10" t="n">
        <v>76.827</v>
      </c>
      <c r="I9" s="10" t="n">
        <v>65.946</v>
      </c>
      <c r="J9" s="10" t="n">
        <v>67.95999999999999</v>
      </c>
      <c r="K9" s="10" t="n">
        <v>65.41</v>
      </c>
      <c r="L9" s="10" t="n">
        <v>70.63500000000001</v>
      </c>
      <c r="M9" s="10" t="n">
        <v>72.053</v>
      </c>
      <c r="N9" s="10" t="n">
        <v>77.496</v>
      </c>
      <c r="O9" s="10" t="n">
        <v>67.77</v>
      </c>
      <c r="P9" s="10" t="n">
        <v>79.361</v>
      </c>
      <c r="Q9" s="10" t="n">
        <v>81.884</v>
      </c>
      <c r="R9" s="10" t="n">
        <v>89.167</v>
      </c>
      <c r="S9" s="10" t="n">
        <v>78.614</v>
      </c>
      <c r="T9" s="10" t="n">
        <v>86.988</v>
      </c>
      <c r="U9" s="10" t="n">
        <v>87.131</v>
      </c>
      <c r="V9" s="10" t="n">
        <v>91.494</v>
      </c>
    </row>
    <row r="10">
      <c r="B10" s="4" t="inlineStr">
        <is>
          <t>Total revenue (XBRL)</t>
        </is>
      </c>
      <c r="C10" s="10" t="n">
        <v>372.722</v>
      </c>
      <c r="D10" s="10" t="n">
        <v>537.272</v>
      </c>
      <c r="E10" s="10" t="n">
        <v>888.798</v>
      </c>
      <c r="F10" s="10" t="n">
        <v>471.166</v>
      </c>
      <c r="G10" s="10" t="n">
        <v>418.644</v>
      </c>
      <c r="H10" s="10" t="n">
        <v>489.537</v>
      </c>
      <c r="I10" s="10" t="n">
        <v>456.499</v>
      </c>
      <c r="J10" s="10" t="n">
        <v>444.767</v>
      </c>
      <c r="K10" s="10" t="n">
        <v>415.829</v>
      </c>
      <c r="L10" s="10" t="n">
        <v>466.989</v>
      </c>
      <c r="M10" s="10" t="n">
        <v>511.13</v>
      </c>
      <c r="N10" s="10" t="n">
        <v>520.456</v>
      </c>
      <c r="O10" s="10" t="n">
        <v>513.609</v>
      </c>
      <c r="P10" s="10" t="n">
        <v>574.957</v>
      </c>
      <c r="Q10" s="10" t="n">
        <v>634.428</v>
      </c>
      <c r="R10" s="10" t="n">
        <v>666.422</v>
      </c>
      <c r="S10" s="10" t="n">
        <v>605.349</v>
      </c>
      <c r="T10" s="10" t="n">
        <v>659.452</v>
      </c>
      <c r="U10" s="10" t="n">
        <v>717.072</v>
      </c>
      <c r="V10" s="10" t="n">
        <v>635.643</v>
      </c>
    </row>
    <row r="11">
      <c r="B11" s="8" t="inlineStr">
        <is>
          <t>MANAGING DIRECTORS (period-end)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</row>
    <row r="12">
      <c r="B12" s="4" t="inlineStr">
        <is>
          <t>Corporate Finance</t>
        </is>
      </c>
      <c r="C12" s="13" t="n">
        <v>127</v>
      </c>
      <c r="D12" s="13" t="n">
        <v>126</v>
      </c>
      <c r="E12" s="13" t="n">
        <v>198</v>
      </c>
      <c r="F12" s="13" t="n">
        <v>202</v>
      </c>
      <c r="G12" s="13" t="n">
        <v>217</v>
      </c>
      <c r="H12" s="13" t="n">
        <v>210</v>
      </c>
      <c r="I12" s="13" t="n">
        <v>215</v>
      </c>
      <c r="J12" s="13" t="n">
        <v>217</v>
      </c>
      <c r="K12" s="13" t="n">
        <v>225</v>
      </c>
      <c r="L12" s="13" t="n">
        <v>211</v>
      </c>
      <c r="M12" s="13" t="n">
        <v>219</v>
      </c>
      <c r="N12" s="13" t="n">
        <v>223</v>
      </c>
      <c r="O12" s="13" t="n">
        <v>228</v>
      </c>
      <c r="P12" s="13" t="n">
        <v>224</v>
      </c>
      <c r="Q12" s="13" t="n">
        <v>238</v>
      </c>
      <c r="R12" s="13" t="n">
        <v>240</v>
      </c>
      <c r="S12" s="13" t="n">
        <v>244</v>
      </c>
      <c r="T12" s="13" t="n">
        <v>242</v>
      </c>
      <c r="U12" s="13" t="n">
        <v>238</v>
      </c>
      <c r="V12" s="13" t="n">
        <v>251</v>
      </c>
    </row>
    <row r="13">
      <c r="B13" s="4" t="inlineStr">
        <is>
          <t>Financial Restructuring</t>
        </is>
      </c>
      <c r="C13" s="13" t="n">
        <v>52</v>
      </c>
      <c r="D13" s="13" t="n">
        <v>51</v>
      </c>
      <c r="E13" s="13" t="n">
        <v>52</v>
      </c>
      <c r="F13" s="13" t="n">
        <v>53</v>
      </c>
      <c r="G13" s="13" t="n">
        <v>55</v>
      </c>
      <c r="H13" s="13" t="n">
        <v>56</v>
      </c>
      <c r="I13" s="13" t="n">
        <v>56</v>
      </c>
      <c r="J13" s="13" t="n">
        <v>57</v>
      </c>
      <c r="K13" s="13" t="n">
        <v>59</v>
      </c>
      <c r="L13" s="13" t="n">
        <v>60</v>
      </c>
      <c r="M13" s="13" t="n">
        <v>52</v>
      </c>
      <c r="N13" s="13" t="n">
        <v>54</v>
      </c>
      <c r="O13" s="13" t="n">
        <v>58</v>
      </c>
      <c r="P13" s="13" t="n">
        <v>58</v>
      </c>
      <c r="Q13" s="13" t="n">
        <v>57</v>
      </c>
      <c r="R13" s="13" t="n">
        <v>57</v>
      </c>
      <c r="S13" s="13" t="n">
        <v>58</v>
      </c>
      <c r="T13" s="13" t="n">
        <v>58</v>
      </c>
      <c r="U13" s="13" t="n">
        <v>59</v>
      </c>
      <c r="V13" s="13" t="n">
        <v>59</v>
      </c>
    </row>
    <row r="14">
      <c r="B14" s="4" t="inlineStr">
        <is>
          <t>Financial &amp; Valuation Advisory</t>
        </is>
      </c>
      <c r="C14" s="13" t="n">
        <v>35</v>
      </c>
      <c r="D14" s="13" t="n">
        <v>37</v>
      </c>
      <c r="E14" s="13" t="n">
        <v>34</v>
      </c>
      <c r="F14" s="13" t="n">
        <v>34</v>
      </c>
      <c r="G14" s="13" t="n">
        <v>42</v>
      </c>
      <c r="H14" s="13" t="n">
        <v>40</v>
      </c>
      <c r="I14" s="13" t="n">
        <v>38</v>
      </c>
      <c r="J14" s="13" t="n">
        <v>39</v>
      </c>
      <c r="K14" s="13" t="n">
        <v>42</v>
      </c>
      <c r="L14" s="13" t="n">
        <v>40</v>
      </c>
      <c r="M14" s="13" t="n">
        <v>41</v>
      </c>
      <c r="N14" s="13" t="n">
        <v>39</v>
      </c>
      <c r="O14" s="13" t="n">
        <v>42</v>
      </c>
      <c r="P14" s="13" t="n">
        <v>41</v>
      </c>
      <c r="Q14" s="13" t="n">
        <v>42</v>
      </c>
      <c r="R14" s="13" t="n">
        <v>42</v>
      </c>
      <c r="S14" s="13" t="n">
        <v>45</v>
      </c>
      <c r="T14" s="13" t="n">
        <v>45</v>
      </c>
      <c r="U14" s="13" t="n">
        <v>44</v>
      </c>
      <c r="V14" s="13" t="n">
        <v>44</v>
      </c>
    </row>
    <row r="15">
      <c r="B15" s="8" t="inlineStr">
        <is>
          <t>DEALS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</row>
    <row r="16">
      <c r="B16" s="4" t="inlineStr">
        <is>
          <t>Corporate Finance — closed transactions</t>
        </is>
      </c>
      <c r="C16" s="13" t="n">
        <v>84</v>
      </c>
      <c r="D16" s="13" t="n">
        <v>134</v>
      </c>
      <c r="E16" s="13" t="n">
        <v>238</v>
      </c>
      <c r="F16" s="13" t="n">
        <v>144</v>
      </c>
      <c r="G16" s="13" t="n">
        <v>124</v>
      </c>
      <c r="H16" s="13" t="n">
        <v>114</v>
      </c>
      <c r="I16" s="13" t="n">
        <v>125</v>
      </c>
      <c r="J16" s="13" t="n">
        <v>140</v>
      </c>
      <c r="K16" s="13" t="n">
        <v>95</v>
      </c>
      <c r="L16" s="13" t="n">
        <v>117</v>
      </c>
      <c r="M16" s="13" t="n">
        <v>117</v>
      </c>
      <c r="N16" s="13" t="n">
        <v>121</v>
      </c>
      <c r="O16" s="13" t="n">
        <v>116</v>
      </c>
      <c r="P16" s="13" t="n">
        <v>131</v>
      </c>
      <c r="Q16" s="13" t="n">
        <v>170</v>
      </c>
      <c r="R16" s="13" t="n">
        <v>147</v>
      </c>
      <c r="S16" s="13" t="n">
        <v>125</v>
      </c>
      <c r="T16" s="13" t="n">
        <v>171</v>
      </c>
      <c r="U16" s="13" t="n">
        <v>177</v>
      </c>
      <c r="V16" s="13" t="n">
        <v>171</v>
      </c>
    </row>
    <row r="17">
      <c r="B17" s="4" t="inlineStr">
        <is>
          <t>Financial Restructuring — closed transactions</t>
        </is>
      </c>
      <c r="C17" s="13" t="n">
        <v>24</v>
      </c>
      <c r="D17" s="13" t="n">
        <v>20</v>
      </c>
      <c r="E17" s="13" t="n">
        <v>21</v>
      </c>
      <c r="F17" s="13" t="n">
        <v>25</v>
      </c>
      <c r="G17" s="13" t="n">
        <v>16</v>
      </c>
      <c r="H17" s="13" t="n">
        <v>24</v>
      </c>
      <c r="I17" s="13" t="n">
        <v>28</v>
      </c>
      <c r="J17" s="13" t="n">
        <v>38</v>
      </c>
      <c r="K17" s="13" t="n">
        <v>30</v>
      </c>
      <c r="L17" s="13" t="n">
        <v>31</v>
      </c>
      <c r="M17" s="13" t="n">
        <v>30</v>
      </c>
      <c r="N17" s="13" t="n">
        <v>35</v>
      </c>
      <c r="O17" s="13" t="n">
        <v>33</v>
      </c>
      <c r="P17" s="13" t="n">
        <v>33</v>
      </c>
      <c r="Q17" s="13" t="n">
        <v>41</v>
      </c>
      <c r="R17" s="13" t="n">
        <v>38</v>
      </c>
      <c r="S17" s="13" t="n">
        <v>35</v>
      </c>
      <c r="T17" s="13" t="n">
        <v>37</v>
      </c>
      <c r="U17" s="13" t="n">
        <v>41</v>
      </c>
      <c r="V17" s="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2026-07-14T21:12:46Z</dcterms:created>
  <dcterms:modified xmlns:dcterms="http://purl.org/dc/terms/" xmlns:xsi="http://www.w3.org/2001/XMLSchema-instance" xsi:type="dcterms:W3CDTF">2026-07-14T21:12:46Z</dcterms:modified>
</cp:coreProperties>
</file>